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Buku_Kerja_Ini"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Uncategorized\"/>
    </mc:Choice>
  </mc:AlternateContent>
  <bookViews>
    <workbookView xWindow="0" yWindow="0" windowWidth="20490" windowHeight="7755" activeTab="3"/>
  </bookViews>
  <sheets>
    <sheet name="Vocab" sheetId="2" r:id="rId1"/>
    <sheet name="MainPage" sheetId="1" r:id="rId2"/>
    <sheet name="Equipment" sheetId="3" r:id="rId3"/>
    <sheet name="Inventory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3" l="1"/>
  <c r="I11" i="3"/>
  <c r="J11" i="3"/>
  <c r="D24" i="3"/>
  <c r="E11" i="3"/>
  <c r="D11" i="3"/>
  <c r="E24" i="3"/>
  <c r="F24" i="3"/>
  <c r="G24" i="3"/>
  <c r="H24" i="3"/>
  <c r="I24" i="3"/>
  <c r="J24" i="3"/>
  <c r="K24" i="3"/>
  <c r="L24" i="3"/>
  <c r="G11" i="3" l="1"/>
  <c r="H11" i="3"/>
  <c r="E5" i="1"/>
  <c r="D4" i="1" s="1"/>
</calcChain>
</file>

<file path=xl/sharedStrings.xml><?xml version="1.0" encoding="utf-8"?>
<sst xmlns="http://schemas.openxmlformats.org/spreadsheetml/2006/main" count="80" uniqueCount="58">
  <si>
    <t>Name:</t>
  </si>
  <si>
    <t>Frixell</t>
  </si>
  <si>
    <t>Level:</t>
  </si>
  <si>
    <t>Point/Next:</t>
  </si>
  <si>
    <t>Rank:</t>
  </si>
  <si>
    <t>Nationality:</t>
  </si>
  <si>
    <t>Indonesia</t>
  </si>
  <si>
    <t>Productivity:</t>
  </si>
  <si>
    <t>Resources:</t>
  </si>
  <si>
    <t>Oil:</t>
  </si>
  <si>
    <t>Steel:</t>
  </si>
  <si>
    <t>Aluminium:</t>
  </si>
  <si>
    <t>Rubber:</t>
  </si>
  <si>
    <t>Tungsten:</t>
  </si>
  <si>
    <t>Chromium:</t>
  </si>
  <si>
    <t>Money:</t>
  </si>
  <si>
    <t>Day:</t>
  </si>
  <si>
    <t>Work:</t>
  </si>
  <si>
    <t>Battle:</t>
  </si>
  <si>
    <t>Energy:</t>
  </si>
  <si>
    <t>Equipment:</t>
  </si>
  <si>
    <t>Link</t>
  </si>
  <si>
    <t>Work Equipment:</t>
  </si>
  <si>
    <t>Head:</t>
  </si>
  <si>
    <t>Name</t>
  </si>
  <si>
    <t>Body:</t>
  </si>
  <si>
    <t>Pants:</t>
  </si>
  <si>
    <t>Vision:</t>
  </si>
  <si>
    <t>Boots:</t>
  </si>
  <si>
    <t>Charm:</t>
  </si>
  <si>
    <t>Offhand:</t>
  </si>
  <si>
    <t>Balance</t>
  </si>
  <si>
    <t>+Productivity(%)</t>
  </si>
  <si>
    <t>-Hurt Chance(%)</t>
  </si>
  <si>
    <t>+Resources(%)</t>
  </si>
  <si>
    <t>+Productivity(N)</t>
  </si>
  <si>
    <t>Total:</t>
  </si>
  <si>
    <t>Battle Equipment:</t>
  </si>
  <si>
    <t>Primary:</t>
  </si>
  <si>
    <t>Secondary:</t>
  </si>
  <si>
    <t>Helmet:</t>
  </si>
  <si>
    <t>Armor:</t>
  </si>
  <si>
    <t>Sights:</t>
  </si>
  <si>
    <t>Damage</t>
  </si>
  <si>
    <t>HP</t>
  </si>
  <si>
    <t>Armor</t>
  </si>
  <si>
    <t>Penetraion</t>
  </si>
  <si>
    <t>Hit</t>
  </si>
  <si>
    <t>Evasion</t>
  </si>
  <si>
    <t>Crit. Chance</t>
  </si>
  <si>
    <t>Crit. Eva</t>
  </si>
  <si>
    <t>None:</t>
  </si>
  <si>
    <t>+Power Work (%)</t>
  </si>
  <si>
    <t>+Power Mult.(%)</t>
  </si>
  <si>
    <t>Crit. Mult.(%)</t>
  </si>
  <si>
    <t>Work Eq.</t>
  </si>
  <si>
    <t>Slot</t>
  </si>
  <si>
    <t>Battle Eq.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</si>
</sst>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5" formatCode="_-[$$-409]* #,##0.00_ ;_-[$$-409]* \-#,##0.00\ ;_-[$$-409]* &quot;-&quot;??_ ;_-@_ "/>
  </numFmts>
  <fonts count="3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9" fontId="0" fillId="0" borderId="0" xfId="2" applyFont="1" applyAlignment="1">
      <alignment horizontal="center"/>
    </xf>
    <xf numFmtId="1" fontId="0" fillId="0" borderId="0" xfId="0" applyNumberFormat="1"/>
    <xf numFmtId="165" fontId="0" fillId="0" borderId="0" xfId="0" applyNumberFormat="1"/>
    <xf numFmtId="43" fontId="0" fillId="0" borderId="0" xfId="1" applyFont="1"/>
    <xf numFmtId="0" fontId="2" fillId="0" borderId="0" xfId="3"/>
    <xf numFmtId="0" fontId="0" fillId="0" borderId="0" xfId="0" quotePrefix="1"/>
    <xf numFmtId="43" fontId="0" fillId="2" borderId="0" xfId="1" applyFont="1" applyFill="1"/>
    <xf numFmtId="43" fontId="0" fillId="0" borderId="0" xfId="1" quotePrefix="1" applyFont="1"/>
  </cellXfs>
  <cellStyles count="4">
    <cellStyle name="Hipertaut" xfId="3" builtinId="8"/>
    <cellStyle name="Koma" xfId="1" builtinId="3"/>
    <cellStyle name="Normal" xfId="0" builtinId="0"/>
    <cellStyle name="Persen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0</xdr:row>
          <xdr:rowOff>85725</xdr:rowOff>
        </xdr:from>
        <xdr:to>
          <xdr:col>3</xdr:col>
          <xdr:colOff>857250</xdr:colOff>
          <xdr:row>2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 Selected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0</xdr:row>
          <xdr:rowOff>57150</xdr:rowOff>
        </xdr:from>
        <xdr:to>
          <xdr:col>14</xdr:col>
          <xdr:colOff>485775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 Selected Item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workEqTable" displayName="workEqTable" ref="B4:J5" insertRow="1" totalsRowShown="0">
  <autoFilter ref="B4:J5"/>
  <tableColumns count="9">
    <tableColumn id="1" name="Name"/>
    <tableColumn id="9" name="Slot"/>
    <tableColumn id="2" name="+Productivity(N)" dataCellStyle="Koma"/>
    <tableColumn id="3" name="+Productivity(%)" dataCellStyle="Koma"/>
    <tableColumn id="4" name="-Hurt Chance(%)" dataCellStyle="Koma"/>
    <tableColumn id="5" name="+Resources(%)" dataCellStyle="Koma"/>
    <tableColumn id="6" name="Balance" dataCellStyle="Koma"/>
    <tableColumn id="7" name="+Power Work (%)" dataCellStyle="Koma"/>
    <tableColumn id="8" name="+Power Mult.(%)" dataCellStyle="Koma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battleEqTable" displayName="battleEqTable" ref="M4:W5" insertRow="1" totalsRowShown="0">
  <autoFilter ref="M4:W5"/>
  <tableColumns count="11">
    <tableColumn id="1" name="Name"/>
    <tableColumn id="2" name="Slot"/>
    <tableColumn id="3" name="Damage" dataCellStyle="Koma"/>
    <tableColumn id="4" name="HP" dataCellStyle="Koma"/>
    <tableColumn id="5" name="Armor" dataCellStyle="Koma"/>
    <tableColumn id="6" name="Penetraion" dataCellStyle="Koma"/>
    <tableColumn id="7" name="Hit" dataCellStyle="Koma"/>
    <tableColumn id="8" name="Evasion" dataCellStyle="Koma"/>
    <tableColumn id="9" name="Crit. Chance" dataCellStyle="Koma"/>
    <tableColumn id="10" name="Crit. Eva" dataCellStyle="Koma"/>
    <tableColumn id="11" name="Crit. Mult.(%)" dataCellStyle="Koma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mbar1"/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mbar2"/>
  <dimension ref="A2:M12"/>
  <sheetViews>
    <sheetView workbookViewId="0">
      <selection activeCell="B12" sqref="B12"/>
    </sheetView>
  </sheetViews>
  <sheetFormatPr defaultRowHeight="15" x14ac:dyDescent="0.25"/>
  <cols>
    <col min="1" max="1" width="12.5703125" customWidth="1"/>
    <col min="2" max="2" width="12" customWidth="1"/>
    <col min="3" max="3" width="12.7109375" customWidth="1"/>
    <col min="7" max="7" width="11.140625" customWidth="1"/>
    <col min="8" max="8" width="13.42578125" customWidth="1"/>
    <col min="9" max="9" width="14.5703125" customWidth="1"/>
    <col min="11" max="11" width="11.140625" customWidth="1"/>
    <col min="12" max="12" width="13.42578125" customWidth="1"/>
    <col min="13" max="13" width="14.5703125" customWidth="1"/>
  </cols>
  <sheetData>
    <row r="2" spans="1:13" x14ac:dyDescent="0.25">
      <c r="G2" t="s">
        <v>8</v>
      </c>
    </row>
    <row r="3" spans="1:13" x14ac:dyDescent="0.25">
      <c r="A3" t="s">
        <v>0</v>
      </c>
      <c r="B3" t="s">
        <v>1</v>
      </c>
      <c r="H3" t="s">
        <v>9</v>
      </c>
      <c r="I3" s="5">
        <v>1</v>
      </c>
      <c r="L3" t="s">
        <v>16</v>
      </c>
      <c r="M3">
        <v>1</v>
      </c>
    </row>
    <row r="4" spans="1:13" x14ac:dyDescent="0.25">
      <c r="A4" t="s">
        <v>2</v>
      </c>
      <c r="B4">
        <v>1</v>
      </c>
      <c r="D4" s="2">
        <f>D5/E5</f>
        <v>0</v>
      </c>
      <c r="E4" s="2"/>
      <c r="H4" t="s">
        <v>11</v>
      </c>
      <c r="I4" s="5">
        <v>1</v>
      </c>
      <c r="L4" t="s">
        <v>17</v>
      </c>
      <c r="M4">
        <v>1</v>
      </c>
    </row>
    <row r="5" spans="1:13" x14ac:dyDescent="0.25">
      <c r="C5" t="s">
        <v>3</v>
      </c>
      <c r="D5">
        <v>0</v>
      </c>
      <c r="E5" s="3">
        <f>10 *(1.669^(B4-1))</f>
        <v>10</v>
      </c>
      <c r="H5" t="s">
        <v>12</v>
      </c>
      <c r="I5" s="5">
        <v>1</v>
      </c>
      <c r="L5" t="s">
        <v>18</v>
      </c>
      <c r="M5">
        <v>1</v>
      </c>
    </row>
    <row r="6" spans="1:13" x14ac:dyDescent="0.25">
      <c r="H6" t="s">
        <v>13</v>
      </c>
      <c r="I6" s="5">
        <v>1</v>
      </c>
    </row>
    <row r="7" spans="1:13" x14ac:dyDescent="0.25">
      <c r="A7" t="s">
        <v>4</v>
      </c>
      <c r="B7" s="1"/>
      <c r="C7" s="1"/>
      <c r="H7" t="s">
        <v>10</v>
      </c>
      <c r="I7" s="5">
        <v>1</v>
      </c>
    </row>
    <row r="8" spans="1:13" x14ac:dyDescent="0.25">
      <c r="A8" t="s">
        <v>5</v>
      </c>
      <c r="B8" t="s">
        <v>6</v>
      </c>
      <c r="H8" t="s">
        <v>14</v>
      </c>
      <c r="I8" s="5">
        <v>1</v>
      </c>
    </row>
    <row r="10" spans="1:13" x14ac:dyDescent="0.25">
      <c r="A10" t="s">
        <v>7</v>
      </c>
      <c r="B10">
        <v>1</v>
      </c>
      <c r="H10" t="s">
        <v>15</v>
      </c>
      <c r="I10" s="4">
        <v>1</v>
      </c>
    </row>
    <row r="11" spans="1:13" x14ac:dyDescent="0.25">
      <c r="H11" t="s">
        <v>19</v>
      </c>
      <c r="I11" s="5">
        <v>0</v>
      </c>
    </row>
    <row r="12" spans="1:13" x14ac:dyDescent="0.25">
      <c r="A12" t="s">
        <v>20</v>
      </c>
      <c r="B12" s="6" t="s">
        <v>21</v>
      </c>
    </row>
  </sheetData>
  <mergeCells count="2">
    <mergeCell ref="D4:E4"/>
    <mergeCell ref="B7:C7"/>
  </mergeCells>
  <conditionalFormatting sqref="D4:E4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{A719F412-FF5F-48DB-B6F0-06A568367AD9}</x14:id>
        </ext>
      </extLst>
    </cfRule>
  </conditionalFormatting>
  <hyperlinks>
    <hyperlink ref="B12" location="Equipment!A1" display="Link"/>
  </hyperlink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19F412-FF5F-48DB-B6F0-06A568367AD9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70C0"/>
              <x14:negativeFillColor rgb="FFFF0000"/>
              <x14:axisColor rgb="FF000000"/>
            </x14:dataBar>
          </x14:cfRule>
          <xm:sqref>D4:E4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mbar3"/>
  <dimension ref="A2:L24"/>
  <sheetViews>
    <sheetView topLeftCell="A4" workbookViewId="0">
      <selection activeCell="B15" sqref="B15"/>
    </sheetView>
  </sheetViews>
  <sheetFormatPr defaultRowHeight="15" x14ac:dyDescent="0.25"/>
  <cols>
    <col min="1" max="1" width="17.28515625" customWidth="1"/>
    <col min="2" max="2" width="18.85546875" customWidth="1"/>
    <col min="3" max="3" width="16.85546875" customWidth="1"/>
    <col min="4" max="4" width="15.7109375" customWidth="1"/>
    <col min="5" max="5" width="16.42578125" customWidth="1"/>
    <col min="6" max="6" width="15.7109375" customWidth="1"/>
    <col min="7" max="7" width="14.140625" customWidth="1"/>
    <col min="8" max="8" width="11" customWidth="1"/>
    <col min="9" max="9" width="15.7109375" customWidth="1"/>
    <col min="10" max="10" width="15.5703125" customWidth="1"/>
    <col min="11" max="11" width="11.7109375" customWidth="1"/>
    <col min="12" max="12" width="12.28515625" customWidth="1"/>
    <col min="13" max="13" width="10.28515625" customWidth="1"/>
  </cols>
  <sheetData>
    <row r="2" spans="1:12" x14ac:dyDescent="0.25">
      <c r="A2" t="s">
        <v>22</v>
      </c>
    </row>
    <row r="3" spans="1:12" x14ac:dyDescent="0.25">
      <c r="C3" t="s">
        <v>24</v>
      </c>
      <c r="D3" s="7" t="s">
        <v>35</v>
      </c>
      <c r="E3" s="7" t="s">
        <v>32</v>
      </c>
      <c r="F3" s="7" t="s">
        <v>33</v>
      </c>
      <c r="G3" s="7" t="s">
        <v>34</v>
      </c>
      <c r="H3" t="s">
        <v>31</v>
      </c>
      <c r="I3" s="7" t="s">
        <v>52</v>
      </c>
      <c r="J3" s="7" t="s">
        <v>53</v>
      </c>
    </row>
    <row r="4" spans="1:12" x14ac:dyDescent="0.25">
      <c r="B4" t="s">
        <v>23</v>
      </c>
      <c r="D4" s="5"/>
      <c r="E4" s="5"/>
      <c r="F4" s="5"/>
      <c r="G4" s="5"/>
      <c r="H4" s="5"/>
      <c r="I4" s="5"/>
      <c r="J4" s="5"/>
    </row>
    <row r="5" spans="1:12" x14ac:dyDescent="0.25">
      <c r="B5" t="s">
        <v>27</v>
      </c>
      <c r="D5" s="5"/>
      <c r="E5" s="5"/>
      <c r="F5" s="5"/>
      <c r="G5" s="5"/>
      <c r="H5" s="5"/>
      <c r="I5" s="5"/>
      <c r="J5" s="5"/>
    </row>
    <row r="6" spans="1:12" x14ac:dyDescent="0.25">
      <c r="B6" t="s">
        <v>25</v>
      </c>
      <c r="D6" s="5"/>
      <c r="E6" s="5"/>
      <c r="F6" s="5"/>
      <c r="G6" s="5"/>
      <c r="H6" s="5"/>
      <c r="I6" s="5"/>
      <c r="J6" s="5"/>
    </row>
    <row r="7" spans="1:12" x14ac:dyDescent="0.25">
      <c r="B7" t="s">
        <v>26</v>
      </c>
      <c r="D7" s="5"/>
      <c r="E7" s="5"/>
      <c r="F7" s="5"/>
      <c r="G7" s="5"/>
      <c r="H7" s="5"/>
      <c r="I7" s="5"/>
      <c r="J7" s="5"/>
    </row>
    <row r="8" spans="1:12" x14ac:dyDescent="0.25">
      <c r="B8" t="s">
        <v>28</v>
      </c>
      <c r="D8" s="5"/>
      <c r="E8" s="5"/>
      <c r="F8" s="5"/>
      <c r="G8" s="5"/>
      <c r="H8" s="5"/>
      <c r="I8" s="5"/>
      <c r="J8" s="5"/>
    </row>
    <row r="9" spans="1:12" x14ac:dyDescent="0.25">
      <c r="B9" t="s">
        <v>29</v>
      </c>
      <c r="D9" s="5"/>
      <c r="E9" s="5"/>
      <c r="F9" s="5"/>
      <c r="G9" s="5"/>
      <c r="H9" s="5"/>
      <c r="I9" s="5"/>
      <c r="J9" s="5"/>
    </row>
    <row r="10" spans="1:12" x14ac:dyDescent="0.25">
      <c r="B10" t="s">
        <v>30</v>
      </c>
      <c r="D10" s="5"/>
      <c r="E10" s="5"/>
      <c r="F10" s="5"/>
      <c r="G10" s="5"/>
      <c r="H10" s="5"/>
      <c r="I10" s="5"/>
      <c r="J10" s="5"/>
    </row>
    <row r="11" spans="1:12" x14ac:dyDescent="0.25">
      <c r="B11" t="s">
        <v>36</v>
      </c>
      <c r="D11" s="8">
        <f>SUM(MainPage!B10,D4:D10)</f>
        <v>1</v>
      </c>
      <c r="E11" s="8">
        <f>SUM(E4:E10)</f>
        <v>0</v>
      </c>
      <c r="F11" s="8">
        <f>25-SUM(F4:F10)</f>
        <v>25</v>
      </c>
      <c r="G11" s="8">
        <f>SUM(G4:G10)</f>
        <v>0</v>
      </c>
      <c r="H11" s="8">
        <f>SUM(H4:H10)</f>
        <v>0</v>
      </c>
      <c r="I11" s="8">
        <f>SUM(5,I4:I10)</f>
        <v>5</v>
      </c>
      <c r="J11" s="8">
        <f>SUM(10,J4:J10)</f>
        <v>10</v>
      </c>
    </row>
    <row r="15" spans="1:12" x14ac:dyDescent="0.25">
      <c r="A15" t="s">
        <v>37</v>
      </c>
    </row>
    <row r="16" spans="1:12" x14ac:dyDescent="0.25">
      <c r="C16" t="s">
        <v>24</v>
      </c>
      <c r="D16" t="s">
        <v>43</v>
      </c>
      <c r="E16" t="s">
        <v>44</v>
      </c>
      <c r="F16" t="s">
        <v>45</v>
      </c>
      <c r="G16" t="s">
        <v>46</v>
      </c>
      <c r="H16" t="s">
        <v>47</v>
      </c>
      <c r="I16" t="s">
        <v>48</v>
      </c>
      <c r="J16" t="s">
        <v>49</v>
      </c>
      <c r="K16" t="s">
        <v>50</v>
      </c>
      <c r="L16" t="s">
        <v>54</v>
      </c>
    </row>
    <row r="17" spans="2:12" x14ac:dyDescent="0.25">
      <c r="B17" t="s">
        <v>38</v>
      </c>
    </row>
    <row r="18" spans="2:12" x14ac:dyDescent="0.25">
      <c r="B18" t="s">
        <v>39</v>
      </c>
    </row>
    <row r="19" spans="2:12" x14ac:dyDescent="0.25">
      <c r="B19" t="s">
        <v>40</v>
      </c>
    </row>
    <row r="20" spans="2:12" x14ac:dyDescent="0.25">
      <c r="B20" t="s">
        <v>41</v>
      </c>
    </row>
    <row r="21" spans="2:12" x14ac:dyDescent="0.25">
      <c r="B21" t="s">
        <v>28</v>
      </c>
    </row>
    <row r="22" spans="2:12" x14ac:dyDescent="0.25">
      <c r="B22" t="s">
        <v>42</v>
      </c>
    </row>
    <row r="23" spans="2:12" x14ac:dyDescent="0.25">
      <c r="B23" t="s">
        <v>51</v>
      </c>
    </row>
    <row r="24" spans="2:12" x14ac:dyDescent="0.25">
      <c r="B24" t="s">
        <v>36</v>
      </c>
      <c r="D24" s="8">
        <f>SUM(D17:D23)*(MainPage!B4*0.001+1)</f>
        <v>0</v>
      </c>
      <c r="E24" s="8">
        <f t="shared" ref="E24:L24" si="0">SUM(E17:E23)</f>
        <v>0</v>
      </c>
      <c r="F24" s="8">
        <f t="shared" si="0"/>
        <v>0</v>
      </c>
      <c r="G24" s="8">
        <f t="shared" si="0"/>
        <v>0</v>
      </c>
      <c r="H24" s="8">
        <f t="shared" si="0"/>
        <v>0</v>
      </c>
      <c r="I24" s="8">
        <f t="shared" si="0"/>
        <v>0</v>
      </c>
      <c r="J24" s="8">
        <f t="shared" si="0"/>
        <v>0</v>
      </c>
      <c r="K24" s="8">
        <f t="shared" si="0"/>
        <v>0</v>
      </c>
      <c r="L24" s="8">
        <f t="shared" si="0"/>
        <v>0</v>
      </c>
    </row>
  </sheetData>
  <pageMargins left="0.7" right="0.7" top="0.75" bottom="0.75" header="0.3" footer="0.3"/>
  <ignoredErrors>
    <ignoredError sqref="F11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embar4"/>
  <dimension ref="A3:W5"/>
  <sheetViews>
    <sheetView tabSelected="1" topLeftCell="C1" workbookViewId="0">
      <selection activeCell="M5" sqref="M5"/>
    </sheetView>
  </sheetViews>
  <sheetFormatPr defaultRowHeight="15" x14ac:dyDescent="0.25"/>
  <cols>
    <col min="2" max="2" width="16.85546875" customWidth="1"/>
    <col min="3" max="3" width="17.7109375" customWidth="1"/>
    <col min="4" max="4" width="17.85546875" customWidth="1"/>
    <col min="5" max="5" width="17.5703125" customWidth="1"/>
    <col min="6" max="6" width="17.85546875" customWidth="1"/>
    <col min="7" max="7" width="16.140625" customWidth="1"/>
    <col min="8" max="8" width="18.42578125" customWidth="1"/>
    <col min="9" max="10" width="18" customWidth="1"/>
    <col min="13" max="13" width="16.85546875" customWidth="1"/>
    <col min="14" max="14" width="15.7109375" customWidth="1"/>
    <col min="15" max="15" width="16.42578125" customWidth="1"/>
    <col min="16" max="16" width="15.7109375" customWidth="1"/>
    <col min="17" max="17" width="14.140625" customWidth="1"/>
    <col min="18" max="18" width="13" customWidth="1"/>
    <col min="19" max="19" width="15.7109375" customWidth="1"/>
    <col min="20" max="20" width="15.5703125" customWidth="1"/>
    <col min="21" max="21" width="13.7109375" customWidth="1"/>
    <col min="22" max="22" width="12.28515625" customWidth="1"/>
    <col min="23" max="23" width="15" customWidth="1"/>
  </cols>
  <sheetData>
    <row r="3" spans="1:23" x14ac:dyDescent="0.25">
      <c r="A3" t="s">
        <v>55</v>
      </c>
      <c r="L3" t="s">
        <v>57</v>
      </c>
    </row>
    <row r="4" spans="1:23" x14ac:dyDescent="0.25">
      <c r="B4" t="s">
        <v>24</v>
      </c>
      <c r="C4" t="s">
        <v>56</v>
      </c>
      <c r="D4" s="7" t="s">
        <v>35</v>
      </c>
      <c r="E4" s="7" t="s">
        <v>32</v>
      </c>
      <c r="F4" s="7" t="s">
        <v>33</v>
      </c>
      <c r="G4" s="7" t="s">
        <v>34</v>
      </c>
      <c r="H4" t="s">
        <v>31</v>
      </c>
      <c r="I4" s="7" t="s">
        <v>52</v>
      </c>
      <c r="J4" s="7" t="s">
        <v>53</v>
      </c>
      <c r="M4" t="s">
        <v>24</v>
      </c>
      <c r="N4" t="s">
        <v>56</v>
      </c>
      <c r="O4" t="s">
        <v>43</v>
      </c>
      <c r="P4" t="s">
        <v>44</v>
      </c>
      <c r="Q4" t="s">
        <v>45</v>
      </c>
      <c r="R4" t="s">
        <v>46</v>
      </c>
      <c r="S4" t="s">
        <v>47</v>
      </c>
      <c r="T4" t="s">
        <v>48</v>
      </c>
      <c r="U4" t="s">
        <v>49</v>
      </c>
      <c r="V4" t="s">
        <v>50</v>
      </c>
      <c r="W4" t="s">
        <v>54</v>
      </c>
    </row>
    <row r="5" spans="1:23" x14ac:dyDescent="0.25">
      <c r="D5" s="9"/>
      <c r="E5" s="9"/>
      <c r="F5" s="9"/>
      <c r="G5" s="9"/>
      <c r="H5" s="5"/>
      <c r="I5" s="9"/>
      <c r="J5" s="9"/>
      <c r="O5" s="5"/>
      <c r="P5" s="5"/>
      <c r="Q5" s="5"/>
      <c r="R5" s="5"/>
      <c r="S5" s="5"/>
      <c r="T5" s="5"/>
      <c r="U5" s="5"/>
      <c r="V5" s="5"/>
      <c r="W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quip_work_eq">
                <anchor moveWithCells="1" sizeWithCells="1">
                  <from>
                    <xdr:col>1</xdr:col>
                    <xdr:colOff>371475</xdr:colOff>
                    <xdr:row>0</xdr:row>
                    <xdr:rowOff>85725</xdr:rowOff>
                  </from>
                  <to>
                    <xdr:col>3</xdr:col>
                    <xdr:colOff>857250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equip_battle_eq">
                <anchor moveWithCells="1" sizeWithCells="1">
                  <from>
                    <xdr:col>12</xdr:col>
                    <xdr:colOff>228600</xdr:colOff>
                    <xdr:row>0</xdr:row>
                    <xdr:rowOff>57150</xdr:rowOff>
                  </from>
                  <to>
                    <xdr:col>14</xdr:col>
                    <xdr:colOff>485775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Lembar kerja</vt:lpstr>
      </vt:variant>
      <vt:variant>
        <vt:i4>4</vt:i4>
      </vt:variant>
    </vt:vector>
  </HeadingPairs>
  <TitlesOfParts>
    <vt:vector size="4" baseType="lpstr">
      <vt:lpstr>Vocab</vt:lpstr>
      <vt:lpstr>MainPage</vt:lpstr>
      <vt:lpstr>Equipment</vt:lpstr>
      <vt:lpstr>Inventory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Bayu Rukmana Jati</dc:creator>
  <cp:lastModifiedBy>Bayu Rukmana Jati</cp:lastModifiedBy>
  <dcterms:created xsi:type="dcterms:W3CDTF">2020-06-08T18:04:08Z</dcterms:created>
  <dcterms:modified xsi:type="dcterms:W3CDTF">2020-06-08T23:13:35Z</dcterms:modified>
</cp:coreProperties>
</file>