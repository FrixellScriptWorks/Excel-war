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Buku_Kerja_Ini" defaultThemeVersion="153222"/>
  <mc:AlternateContent xmlns:mc="http://schemas.openxmlformats.org/markup-compatibility/2006">
    <mc:Choice Requires="x15">
      <x15ac:absPath xmlns:x15ac="http://schemas.microsoft.com/office/spreadsheetml/2010/11/ac" url="C:\Users\Asus\Documents\Uncategorized\Geming\"/>
    </mc:Choice>
  </mc:AlternateContent>
  <bookViews>
    <workbookView xWindow="0" yWindow="0" windowWidth="20490" windowHeight="7755" activeTab="1"/>
  </bookViews>
  <sheets>
    <sheet name="War" sheetId="1" r:id="rId1"/>
    <sheet name="Fight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2" l="1"/>
  <c r="D25" i="2"/>
  <c r="F25" i="2" l="1"/>
  <c r="G25" i="2"/>
  <c r="H25" i="2"/>
  <c r="E25" i="2" l="1"/>
  <c r="I25" i="2"/>
  <c r="J25" i="2"/>
  <c r="K25" i="2"/>
  <c r="L25" i="2"/>
  <c r="F11" i="2"/>
  <c r="G11" i="2"/>
  <c r="H11" i="2"/>
  <c r="I11" i="2"/>
  <c r="J11" i="2"/>
  <c r="K11" i="2"/>
  <c r="L11" i="2"/>
  <c r="E11" i="2"/>
  <c r="E3" i="1"/>
  <c r="H4" i="1"/>
  <c r="E4" i="1"/>
</calcChain>
</file>

<file path=xl/sharedStrings.xml><?xml version="1.0" encoding="utf-8"?>
<sst xmlns="http://schemas.openxmlformats.org/spreadsheetml/2006/main" count="59" uniqueCount="54">
  <si>
    <t>Personnel</t>
  </si>
  <si>
    <t>Vehicle</t>
  </si>
  <si>
    <t>Tank</t>
  </si>
  <si>
    <t>Aircraft</t>
  </si>
  <si>
    <t>Helicopter</t>
  </si>
  <si>
    <t>Artillery</t>
  </si>
  <si>
    <t>You</t>
  </si>
  <si>
    <t>Enemy</t>
  </si>
  <si>
    <t>Potential points</t>
  </si>
  <si>
    <t>Type:</t>
  </si>
  <si>
    <t>Machine Gun:</t>
  </si>
  <si>
    <t>Gun:</t>
  </si>
  <si>
    <t>Turret:</t>
  </si>
  <si>
    <t>Armor:</t>
  </si>
  <si>
    <t>Engine:</t>
  </si>
  <si>
    <t>Track:</t>
  </si>
  <si>
    <t>Sight:</t>
  </si>
  <si>
    <t>HP</t>
  </si>
  <si>
    <t>Armor</t>
  </si>
  <si>
    <t>Evasion</t>
  </si>
  <si>
    <t>Hit</t>
  </si>
  <si>
    <t>Damage</t>
  </si>
  <si>
    <t>Penetraion</t>
  </si>
  <si>
    <t>Crit. Chance</t>
  </si>
  <si>
    <t>Crit. Eva</t>
  </si>
  <si>
    <t>Crit. Mult.</t>
  </si>
  <si>
    <t>Rheinmetall 120mm</t>
  </si>
  <si>
    <t>Browning .50 Cal</t>
  </si>
  <si>
    <t>SpinX Ultra</t>
  </si>
  <si>
    <t>Krupp Body Werks</t>
  </si>
  <si>
    <t>Maybach Engine</t>
  </si>
  <si>
    <t>Licth Krauss Metal</t>
  </si>
  <si>
    <t>EC Commodore</t>
  </si>
  <si>
    <t>Total:</t>
  </si>
  <si>
    <t>Point:</t>
  </si>
  <si>
    <t>VS</t>
  </si>
  <si>
    <t>Infantry</t>
  </si>
  <si>
    <t>(+20% Damage Againts Artillery)</t>
  </si>
  <si>
    <t>(+20% Damage Againts Vehicle)</t>
  </si>
  <si>
    <t>Primary:</t>
  </si>
  <si>
    <t>RPG-7 Ext. II</t>
  </si>
  <si>
    <t>Secondary:</t>
  </si>
  <si>
    <t>M4A1</t>
  </si>
  <si>
    <t>Gauss Vests</t>
  </si>
  <si>
    <t>Boots:</t>
  </si>
  <si>
    <t>Helmet:</t>
  </si>
  <si>
    <t>Kreuger</t>
  </si>
  <si>
    <t>AP-Boots</t>
  </si>
  <si>
    <t>Sights:</t>
  </si>
  <si>
    <t>Infrared Scope</t>
  </si>
  <si>
    <t>Your HP:</t>
  </si>
  <si>
    <t>Enemy HP:</t>
  </si>
  <si>
    <t>Your Point:</t>
  </si>
  <si>
    <t>Enemy Point: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</si>
</sst>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">
    <xf numFmtId="0" fontId="0" fillId="0" borderId="0" xfId="0"/>
    <xf numFmtId="10" fontId="0" fillId="0" borderId="0" xfId="2" applyNumberFormat="1" applyFont="1"/>
    <xf numFmtId="164" fontId="0" fillId="0" borderId="0" xfId="1" applyNumberFormat="1" applyFont="1"/>
    <xf numFmtId="164" fontId="0" fillId="3" borderId="0" xfId="1" applyNumberFormat="1" applyFont="1" applyFill="1"/>
    <xf numFmtId="10" fontId="0" fillId="2" borderId="3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0" fontId="0" fillId="2" borderId="2" xfId="0" applyNumberFormat="1" applyFill="1" applyBorder="1" applyAlignment="1">
      <alignment horizontal="center"/>
    </xf>
    <xf numFmtId="9" fontId="0" fillId="0" borderId="0" xfId="2" applyFont="1" applyAlignment="1">
      <alignment horizontal="center"/>
    </xf>
  </cellXfs>
  <cellStyles count="3">
    <cellStyle name="Koma" xfId="1" builtinId="3"/>
    <cellStyle name="Normal" xfId="0" builtinId="0"/>
    <cellStyle name="Persen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5</xdr:row>
          <xdr:rowOff>9525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mbar1"/>
  <dimension ref="D1:I13"/>
  <sheetViews>
    <sheetView workbookViewId="0">
      <selection activeCell="C8" sqref="C8"/>
    </sheetView>
  </sheetViews>
  <sheetFormatPr defaultRowHeight="15" x14ac:dyDescent="0.25"/>
  <cols>
    <col min="5" max="5" width="18.85546875" customWidth="1"/>
    <col min="8" max="8" width="18.28515625" customWidth="1"/>
  </cols>
  <sheetData>
    <row r="1" spans="4:9" x14ac:dyDescent="0.25">
      <c r="E1" s="2">
        <v>902139102</v>
      </c>
      <c r="F1" s="7"/>
      <c r="G1" s="7"/>
      <c r="H1" s="2">
        <v>1242131241</v>
      </c>
    </row>
    <row r="2" spans="4:9" ht="15.75" thickBot="1" x14ac:dyDescent="0.3"/>
    <row r="3" spans="4:9" ht="15" customHeight="1" thickTop="1" thickBot="1" x14ac:dyDescent="0.3">
      <c r="E3" s="4">
        <f>(E1/(E1+H1))</f>
        <v>0.42072078501903715</v>
      </c>
      <c r="F3" s="5"/>
      <c r="G3" s="5"/>
      <c r="H3" s="6"/>
    </row>
    <row r="4" spans="4:9" ht="15.75" thickTop="1" x14ac:dyDescent="0.25">
      <c r="D4" t="s">
        <v>6</v>
      </c>
      <c r="E4" s="1">
        <f>(E1/(E1+H1))</f>
        <v>0.42072078501903715</v>
      </c>
      <c r="H4" s="1">
        <f>(H1/(E1+H1))</f>
        <v>0.57927921498096291</v>
      </c>
      <c r="I4" t="s">
        <v>7</v>
      </c>
    </row>
    <row r="7" spans="4:9" x14ac:dyDescent="0.25">
      <c r="E7" t="s">
        <v>0</v>
      </c>
      <c r="F7">
        <v>44203</v>
      </c>
      <c r="G7">
        <v>53012</v>
      </c>
    </row>
    <row r="8" spans="4:9" x14ac:dyDescent="0.25">
      <c r="E8" t="s">
        <v>1</v>
      </c>
      <c r="F8">
        <v>120</v>
      </c>
      <c r="G8">
        <v>200</v>
      </c>
    </row>
    <row r="9" spans="4:9" x14ac:dyDescent="0.25">
      <c r="E9" t="s">
        <v>2</v>
      </c>
      <c r="F9">
        <v>300</v>
      </c>
      <c r="G9">
        <v>244</v>
      </c>
    </row>
    <row r="10" spans="4:9" x14ac:dyDescent="0.25">
      <c r="E10" t="s">
        <v>4</v>
      </c>
      <c r="F10">
        <v>45</v>
      </c>
      <c r="G10">
        <v>80</v>
      </c>
    </row>
    <row r="11" spans="4:9" x14ac:dyDescent="0.25">
      <c r="E11" t="s">
        <v>3</v>
      </c>
      <c r="F11">
        <v>22</v>
      </c>
      <c r="G11">
        <v>12</v>
      </c>
    </row>
    <row r="12" spans="4:9" x14ac:dyDescent="0.25">
      <c r="E12" t="s">
        <v>5</v>
      </c>
      <c r="F12">
        <v>19</v>
      </c>
      <c r="G12">
        <v>18</v>
      </c>
    </row>
    <row r="13" spans="4:9" x14ac:dyDescent="0.25">
      <c r="E13" t="s">
        <v>8</v>
      </c>
    </row>
  </sheetData>
  <mergeCells count="2">
    <mergeCell ref="E3:H3"/>
    <mergeCell ref="F1:G1"/>
  </mergeCells>
  <conditionalFormatting sqref="F1">
    <cfRule type="dataBar" priority="3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{7D35306D-79FD-4D52-8B97-D91707F757C0}</x14:id>
        </ext>
      </extLst>
    </cfRule>
  </conditionalFormatting>
  <conditionalFormatting sqref="E3:H3">
    <cfRule type="dataBar" priority="1">
      <dataBar showValue="0"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{B85770D6-B179-4124-82C7-095CE65BC6FC}</x14:id>
        </ext>
      </extLst>
    </cfRule>
  </conditionalFormatting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35306D-79FD-4D52-8B97-D91707F757C0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F1</xm:sqref>
        </x14:conditionalFormatting>
        <x14:conditionalFormatting xmlns:xm="http://schemas.microsoft.com/office/excel/2006/main">
          <x14:cfRule type="dataBar" id="{B85770D6-B179-4124-82C7-095CE65BC6F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E3:H3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embar2"/>
  <dimension ref="A1:O25"/>
  <sheetViews>
    <sheetView tabSelected="1" workbookViewId="0">
      <selection activeCell="H14" sqref="H14"/>
    </sheetView>
  </sheetViews>
  <sheetFormatPr defaultRowHeight="15" x14ac:dyDescent="0.25"/>
  <cols>
    <col min="2" max="2" width="13.42578125" customWidth="1"/>
    <col min="3" max="3" width="20.42578125" customWidth="1"/>
    <col min="4" max="5" width="10.5703125" bestFit="1" customWidth="1"/>
    <col min="6" max="6" width="9.28515625" bestFit="1" customWidth="1"/>
    <col min="7" max="7" width="11" customWidth="1"/>
    <col min="8" max="9" width="9.28515625" bestFit="1" customWidth="1"/>
    <col min="10" max="10" width="11.7109375" customWidth="1"/>
    <col min="11" max="11" width="12.28515625" customWidth="1"/>
    <col min="12" max="12" width="10.28515625" customWidth="1"/>
    <col min="14" max="14" width="14.7109375" customWidth="1"/>
    <col min="15" max="15" width="14.28515625" customWidth="1"/>
  </cols>
  <sheetData>
    <row r="1" spans="1:15" x14ac:dyDescent="0.25">
      <c r="B1" t="s">
        <v>34</v>
      </c>
      <c r="C1" s="2">
        <v>17862</v>
      </c>
    </row>
    <row r="2" spans="1:15" x14ac:dyDescent="0.25">
      <c r="B2" t="s">
        <v>9</v>
      </c>
      <c r="C2" t="s">
        <v>1</v>
      </c>
      <c r="D2" t="s">
        <v>38</v>
      </c>
    </row>
    <row r="3" spans="1:15" x14ac:dyDescent="0.25">
      <c r="D3" t="s">
        <v>21</v>
      </c>
      <c r="E3" t="s">
        <v>17</v>
      </c>
      <c r="F3" t="s">
        <v>18</v>
      </c>
      <c r="G3" t="s">
        <v>22</v>
      </c>
      <c r="H3" t="s">
        <v>20</v>
      </c>
      <c r="I3" t="s">
        <v>19</v>
      </c>
      <c r="J3" t="s">
        <v>23</v>
      </c>
      <c r="K3" t="s">
        <v>24</v>
      </c>
      <c r="L3" t="s">
        <v>25</v>
      </c>
      <c r="N3" t="s">
        <v>50</v>
      </c>
      <c r="O3" s="2">
        <v>-417305.498046875</v>
      </c>
    </row>
    <row r="4" spans="1:15" x14ac:dyDescent="0.25">
      <c r="B4" t="s">
        <v>11</v>
      </c>
      <c r="C4" t="s">
        <v>26</v>
      </c>
      <c r="D4" s="2">
        <v>1200</v>
      </c>
      <c r="E4" s="2">
        <v>245</v>
      </c>
      <c r="F4" s="2">
        <v>3</v>
      </c>
      <c r="G4" s="2">
        <v>100</v>
      </c>
      <c r="H4" s="2">
        <v>60</v>
      </c>
      <c r="I4" s="2">
        <v>0</v>
      </c>
      <c r="J4" s="2">
        <v>20</v>
      </c>
      <c r="K4" s="2">
        <v>0</v>
      </c>
      <c r="L4" s="2">
        <v>10</v>
      </c>
      <c r="N4" t="s">
        <v>51</v>
      </c>
      <c r="O4" s="2">
        <v>-3638670.197265625</v>
      </c>
    </row>
    <row r="5" spans="1:15" x14ac:dyDescent="0.25">
      <c r="B5" t="s">
        <v>10</v>
      </c>
      <c r="C5" t="s">
        <v>27</v>
      </c>
      <c r="D5" s="2">
        <v>44</v>
      </c>
      <c r="E5" s="2">
        <v>12</v>
      </c>
      <c r="F5" s="2">
        <v>1</v>
      </c>
      <c r="G5" s="2">
        <v>14</v>
      </c>
      <c r="H5" s="2">
        <v>10</v>
      </c>
      <c r="I5" s="2">
        <v>0</v>
      </c>
      <c r="J5" s="2">
        <v>10</v>
      </c>
      <c r="K5" s="2">
        <v>0</v>
      </c>
      <c r="L5" s="2">
        <v>20</v>
      </c>
    </row>
    <row r="6" spans="1:15" x14ac:dyDescent="0.25">
      <c r="B6" t="s">
        <v>12</v>
      </c>
      <c r="C6" t="s">
        <v>28</v>
      </c>
      <c r="D6" s="2">
        <v>0</v>
      </c>
      <c r="E6" s="2">
        <v>4500</v>
      </c>
      <c r="F6" s="2">
        <v>24</v>
      </c>
      <c r="G6" s="2">
        <v>0</v>
      </c>
      <c r="H6" s="2">
        <v>0</v>
      </c>
      <c r="I6" s="2">
        <v>4</v>
      </c>
      <c r="J6" s="2">
        <v>0</v>
      </c>
      <c r="K6" s="2">
        <v>1</v>
      </c>
      <c r="L6" s="2">
        <v>0</v>
      </c>
    </row>
    <row r="7" spans="1:15" x14ac:dyDescent="0.25">
      <c r="B7" t="s">
        <v>13</v>
      </c>
      <c r="C7" t="s">
        <v>29</v>
      </c>
      <c r="D7" s="2">
        <v>0</v>
      </c>
      <c r="E7" s="2">
        <v>12800</v>
      </c>
      <c r="F7" s="2">
        <v>77</v>
      </c>
      <c r="G7" s="2">
        <v>0</v>
      </c>
      <c r="H7" s="2">
        <v>0</v>
      </c>
      <c r="I7" s="2">
        <v>1</v>
      </c>
      <c r="J7" s="2">
        <v>0</v>
      </c>
      <c r="K7" s="2">
        <v>0</v>
      </c>
      <c r="L7" s="2">
        <v>0</v>
      </c>
    </row>
    <row r="8" spans="1:15" x14ac:dyDescent="0.25">
      <c r="B8" t="s">
        <v>14</v>
      </c>
      <c r="C8" t="s">
        <v>30</v>
      </c>
      <c r="D8" s="2">
        <v>0</v>
      </c>
      <c r="E8" s="2">
        <v>25</v>
      </c>
      <c r="F8" s="2">
        <v>0</v>
      </c>
      <c r="G8" s="2">
        <v>0</v>
      </c>
      <c r="H8" s="2">
        <v>0</v>
      </c>
      <c r="I8" s="2">
        <v>50</v>
      </c>
      <c r="J8" s="2">
        <v>0</v>
      </c>
      <c r="K8" s="2">
        <v>35</v>
      </c>
      <c r="L8" s="2">
        <v>0</v>
      </c>
    </row>
    <row r="9" spans="1:15" x14ac:dyDescent="0.25">
      <c r="B9" t="s">
        <v>15</v>
      </c>
      <c r="C9" t="s">
        <v>31</v>
      </c>
      <c r="D9" s="2">
        <v>0</v>
      </c>
      <c r="E9" s="2">
        <v>100</v>
      </c>
      <c r="F9" s="2">
        <v>2</v>
      </c>
      <c r="G9" s="2">
        <v>0</v>
      </c>
      <c r="H9" s="2">
        <v>0</v>
      </c>
      <c r="I9" s="2">
        <v>12</v>
      </c>
      <c r="J9" s="2">
        <v>0</v>
      </c>
      <c r="K9" s="2">
        <v>11</v>
      </c>
      <c r="L9" s="2">
        <v>0</v>
      </c>
      <c r="N9" t="s">
        <v>52</v>
      </c>
      <c r="O9" s="2">
        <v>3639118.197265625</v>
      </c>
    </row>
    <row r="10" spans="1:15" x14ac:dyDescent="0.25">
      <c r="B10" t="s">
        <v>16</v>
      </c>
      <c r="C10" t="s">
        <v>32</v>
      </c>
      <c r="D10" s="2">
        <v>0</v>
      </c>
      <c r="E10" s="2">
        <v>0</v>
      </c>
      <c r="F10" s="2">
        <v>0</v>
      </c>
      <c r="G10" s="2">
        <v>0</v>
      </c>
      <c r="H10" s="2">
        <v>25</v>
      </c>
      <c r="I10" s="2">
        <v>0</v>
      </c>
      <c r="J10" s="2">
        <v>10</v>
      </c>
      <c r="K10" s="2">
        <v>0</v>
      </c>
      <c r="L10" s="2">
        <v>0</v>
      </c>
      <c r="N10" t="s">
        <v>53</v>
      </c>
      <c r="O10" s="2">
        <v>430877.74560546875</v>
      </c>
    </row>
    <row r="11" spans="1:15" x14ac:dyDescent="0.25">
      <c r="B11" t="s">
        <v>33</v>
      </c>
      <c r="D11" s="3">
        <f>SUM(D4:D10)</f>
        <v>1244</v>
      </c>
      <c r="E11" s="3">
        <f>SUM(E4:E10)</f>
        <v>17682</v>
      </c>
      <c r="F11" s="3">
        <f t="shared" ref="F11:L11" si="0">SUM(F4:F10)</f>
        <v>107</v>
      </c>
      <c r="G11" s="3">
        <f t="shared" si="0"/>
        <v>114</v>
      </c>
      <c r="H11" s="3">
        <f t="shared" si="0"/>
        <v>95</v>
      </c>
      <c r="I11" s="3">
        <f t="shared" si="0"/>
        <v>67</v>
      </c>
      <c r="J11" s="3">
        <f t="shared" si="0"/>
        <v>40</v>
      </c>
      <c r="K11" s="3">
        <f t="shared" si="0"/>
        <v>47</v>
      </c>
      <c r="L11" s="3">
        <f t="shared" si="0"/>
        <v>30</v>
      </c>
    </row>
    <row r="13" spans="1:15" x14ac:dyDescent="0.25">
      <c r="A13" t="s">
        <v>35</v>
      </c>
    </row>
    <row r="15" spans="1:15" x14ac:dyDescent="0.25">
      <c r="B15" t="s">
        <v>34</v>
      </c>
      <c r="C15">
        <v>448</v>
      </c>
    </row>
    <row r="16" spans="1:15" x14ac:dyDescent="0.25">
      <c r="B16" t="s">
        <v>9</v>
      </c>
      <c r="C16" t="s">
        <v>36</v>
      </c>
      <c r="D16" t="s">
        <v>37</v>
      </c>
    </row>
    <row r="18" spans="2:12" x14ac:dyDescent="0.25">
      <c r="B18" t="s">
        <v>39</v>
      </c>
      <c r="C18" t="s">
        <v>40</v>
      </c>
      <c r="D18" s="2">
        <v>2877</v>
      </c>
      <c r="E18" s="2">
        <v>2</v>
      </c>
      <c r="F18" s="2">
        <v>1</v>
      </c>
      <c r="G18" s="2">
        <v>120</v>
      </c>
      <c r="H18" s="2">
        <v>35</v>
      </c>
      <c r="I18" s="2">
        <v>0</v>
      </c>
      <c r="J18" s="2">
        <v>14</v>
      </c>
      <c r="K18" s="2">
        <v>0</v>
      </c>
      <c r="L18" s="2">
        <v>15</v>
      </c>
    </row>
    <row r="19" spans="2:12" x14ac:dyDescent="0.25">
      <c r="B19" t="s">
        <v>41</v>
      </c>
      <c r="C19" t="s">
        <v>42</v>
      </c>
      <c r="D19" s="2">
        <v>10</v>
      </c>
      <c r="E19" s="2">
        <v>1</v>
      </c>
      <c r="F19" s="2">
        <v>0</v>
      </c>
      <c r="G19" s="2">
        <v>0</v>
      </c>
      <c r="H19" s="2">
        <v>15</v>
      </c>
      <c r="I19" s="2">
        <v>0</v>
      </c>
      <c r="J19" s="2">
        <v>4</v>
      </c>
      <c r="K19" s="2">
        <v>0</v>
      </c>
      <c r="L19" s="2">
        <v>40</v>
      </c>
    </row>
    <row r="20" spans="2:12" x14ac:dyDescent="0.25">
      <c r="B20" t="s">
        <v>45</v>
      </c>
      <c r="C20" t="s">
        <v>46</v>
      </c>
      <c r="D20" s="2">
        <v>0</v>
      </c>
      <c r="E20" s="2">
        <v>120</v>
      </c>
      <c r="F20" s="2">
        <v>3</v>
      </c>
      <c r="G20" s="2">
        <v>0</v>
      </c>
      <c r="H20" s="2">
        <v>0</v>
      </c>
      <c r="I20" s="2">
        <v>1</v>
      </c>
      <c r="J20" s="2">
        <v>0</v>
      </c>
      <c r="K20" s="2">
        <v>4</v>
      </c>
      <c r="L20" s="2">
        <v>0</v>
      </c>
    </row>
    <row r="21" spans="2:12" x14ac:dyDescent="0.25">
      <c r="B21" t="s">
        <v>13</v>
      </c>
      <c r="C21" t="s">
        <v>43</v>
      </c>
      <c r="D21" s="2">
        <v>0</v>
      </c>
      <c r="E21" s="2">
        <v>320</v>
      </c>
      <c r="F21" s="2">
        <v>4</v>
      </c>
      <c r="G21" s="2">
        <v>0</v>
      </c>
      <c r="H21" s="2">
        <v>0</v>
      </c>
      <c r="I21" s="2">
        <v>1</v>
      </c>
      <c r="J21" s="2">
        <v>0</v>
      </c>
      <c r="K21" s="2">
        <v>1</v>
      </c>
      <c r="L21" s="2">
        <v>0</v>
      </c>
    </row>
    <row r="22" spans="2:12" x14ac:dyDescent="0.25">
      <c r="B22" t="s">
        <v>44</v>
      </c>
      <c r="C22" t="s">
        <v>47</v>
      </c>
      <c r="D22" s="2">
        <v>0</v>
      </c>
      <c r="E22" s="2">
        <v>5</v>
      </c>
      <c r="F22" s="2">
        <v>0</v>
      </c>
      <c r="G22" s="2">
        <v>0</v>
      </c>
      <c r="H22" s="2">
        <v>0</v>
      </c>
      <c r="I22" s="2">
        <v>76</v>
      </c>
      <c r="J22" s="2">
        <v>0</v>
      </c>
      <c r="K22" s="2">
        <v>34</v>
      </c>
      <c r="L22" s="2">
        <v>0</v>
      </c>
    </row>
    <row r="23" spans="2:12" x14ac:dyDescent="0.25">
      <c r="B23" t="s">
        <v>48</v>
      </c>
      <c r="C23" t="s">
        <v>49</v>
      </c>
      <c r="D23" s="2">
        <v>0</v>
      </c>
      <c r="E23" s="2">
        <v>0</v>
      </c>
      <c r="F23" s="2">
        <v>0</v>
      </c>
      <c r="G23" s="2">
        <v>0</v>
      </c>
      <c r="H23" s="2">
        <v>20</v>
      </c>
      <c r="I23" s="2">
        <v>0</v>
      </c>
      <c r="J23" s="2">
        <v>55</v>
      </c>
      <c r="K23" s="2">
        <v>0</v>
      </c>
      <c r="L23" s="2">
        <v>0</v>
      </c>
    </row>
    <row r="24" spans="2:12" x14ac:dyDescent="0.25">
      <c r="D24" s="2"/>
      <c r="E24" s="2"/>
      <c r="F24" s="2"/>
      <c r="G24" s="2"/>
      <c r="H24" s="2"/>
      <c r="I24" s="2"/>
      <c r="J24" s="2"/>
      <c r="K24" s="2"/>
      <c r="L24" s="2"/>
    </row>
    <row r="25" spans="2:12" x14ac:dyDescent="0.25">
      <c r="B25" t="s">
        <v>33</v>
      </c>
      <c r="D25" s="3">
        <f t="shared" ref="D25:L25" si="1">SUM(D18:D23)</f>
        <v>2887</v>
      </c>
      <c r="E25" s="3">
        <f t="shared" si="1"/>
        <v>448</v>
      </c>
      <c r="F25" s="3">
        <f t="shared" si="1"/>
        <v>8</v>
      </c>
      <c r="G25" s="3">
        <f t="shared" si="1"/>
        <v>120</v>
      </c>
      <c r="H25" s="3">
        <f t="shared" si="1"/>
        <v>70</v>
      </c>
      <c r="I25" s="3">
        <f t="shared" si="1"/>
        <v>78</v>
      </c>
      <c r="J25" s="3">
        <f t="shared" si="1"/>
        <v>73</v>
      </c>
      <c r="K25" s="3">
        <f t="shared" si="1"/>
        <v>39</v>
      </c>
      <c r="L25" s="3">
        <f t="shared" si="1"/>
        <v>55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ght_enemy">
                <anchor moveWithCells="1" sizeWithCells="1">
                  <from>
                    <xdr:col>13</xdr:col>
                    <xdr:colOff>28575</xdr:colOff>
                    <xdr:row>5</xdr:row>
                    <xdr:rowOff>9525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Lembar kerja</vt:lpstr>
      </vt:variant>
      <vt:variant>
        <vt:i4>2</vt:i4>
      </vt:variant>
    </vt:vector>
  </HeadingPairs>
  <TitlesOfParts>
    <vt:vector size="2" baseType="lpstr">
      <vt:lpstr>War</vt:lpstr>
      <vt:lpstr>Fight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Bayu Rukmana Jati</dc:creator>
  <cp:lastModifiedBy>Bayu Rukmana Jati</cp:lastModifiedBy>
  <dcterms:created xsi:type="dcterms:W3CDTF">2020-06-02T19:01:59Z</dcterms:created>
  <dcterms:modified xsi:type="dcterms:W3CDTF">2020-06-08T02:37:55Z</dcterms:modified>
</cp:coreProperties>
</file>